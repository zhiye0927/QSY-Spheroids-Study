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ithic Analysis\QSYSpheroidsStudy\analysis\data\derived_data\"/>
    </mc:Choice>
  </mc:AlternateContent>
  <xr:revisionPtr revIDLastSave="0" documentId="8_{632710A5-D11F-44C8-ABE0-177079DB6B4B}" xr6:coauthVersionLast="47" xr6:coauthVersionMax="47" xr10:uidLastSave="{00000000-0000-0000-0000-000000000000}"/>
  <bookViews>
    <workbookView xWindow="-108" yWindow="-108" windowWidth="23256" windowHeight="12456" xr2:uid="{AB97B327-3DD6-4E43-82ED-5E3E3CC8E6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1" l="1"/>
  <c r="L13" i="1" s="1"/>
  <c r="J13" i="1"/>
  <c r="H13" i="1"/>
  <c r="F13" i="1"/>
  <c r="D13" i="1"/>
  <c r="K12" i="1"/>
  <c r="L12" i="1" s="1"/>
  <c r="J12" i="1"/>
  <c r="H12" i="1"/>
  <c r="F12" i="1"/>
  <c r="D12" i="1"/>
  <c r="L11" i="1"/>
  <c r="K11" i="1"/>
  <c r="J11" i="1"/>
  <c r="H11" i="1"/>
  <c r="F11" i="1"/>
  <c r="D11" i="1"/>
  <c r="K10" i="1"/>
  <c r="L10" i="1" s="1"/>
  <c r="J10" i="1"/>
  <c r="H10" i="1"/>
  <c r="F10" i="1"/>
  <c r="D10" i="1"/>
  <c r="L9" i="1"/>
  <c r="K9" i="1"/>
  <c r="J9" i="1"/>
  <c r="H9" i="1"/>
  <c r="F9" i="1"/>
  <c r="D9" i="1"/>
  <c r="I8" i="1"/>
  <c r="J8" i="1" s="1"/>
  <c r="H8" i="1"/>
  <c r="G8" i="1"/>
  <c r="F8" i="1"/>
  <c r="E8" i="1"/>
  <c r="D8" i="1"/>
  <c r="C8" i="1"/>
  <c r="L7" i="1"/>
  <c r="K7" i="1"/>
  <c r="J7" i="1"/>
  <c r="H7" i="1"/>
  <c r="F7" i="1"/>
  <c r="D7" i="1"/>
  <c r="L6" i="1"/>
  <c r="K6" i="1"/>
  <c r="J6" i="1"/>
  <c r="H6" i="1"/>
  <c r="F6" i="1"/>
  <c r="D6" i="1"/>
  <c r="L5" i="1"/>
  <c r="K5" i="1"/>
  <c r="J5" i="1"/>
  <c r="H5" i="1"/>
  <c r="F5" i="1"/>
  <c r="D5" i="1"/>
  <c r="L4" i="1"/>
  <c r="K4" i="1"/>
  <c r="J4" i="1"/>
  <c r="H4" i="1"/>
  <c r="F4" i="1"/>
  <c r="D4" i="1"/>
  <c r="I3" i="1"/>
  <c r="I14" i="1" s="1"/>
  <c r="G3" i="1"/>
  <c r="H3" i="1" s="1"/>
  <c r="F3" i="1"/>
  <c r="E3" i="1"/>
  <c r="E14" i="1" s="1"/>
  <c r="D3" i="1"/>
  <c r="C3" i="1"/>
  <c r="C14" i="1" s="1"/>
  <c r="K8" i="1" l="1"/>
  <c r="L8" i="1" s="1"/>
  <c r="K3" i="1"/>
  <c r="L3" i="1" s="1"/>
  <c r="J3" i="1"/>
  <c r="G14" i="1"/>
  <c r="K14" i="1" s="1"/>
</calcChain>
</file>

<file path=xl/sharedStrings.xml><?xml version="1.0" encoding="utf-8"?>
<sst xmlns="http://schemas.openxmlformats.org/spreadsheetml/2006/main" count="27" uniqueCount="18">
  <si>
    <t>QSY-A</t>
    <phoneticPr fontId="4" type="noConversion"/>
  </si>
  <si>
    <t>QSY-B</t>
    <phoneticPr fontId="4" type="noConversion"/>
  </si>
  <si>
    <t>QSY-C</t>
    <phoneticPr fontId="4" type="noConversion"/>
  </si>
  <si>
    <t>QSY-D</t>
    <phoneticPr fontId="4" type="noConversion"/>
  </si>
  <si>
    <t>Total</t>
    <phoneticPr fontId="4" type="noConversion"/>
  </si>
  <si>
    <t>n</t>
    <phoneticPr fontId="4" type="noConversion"/>
  </si>
  <si>
    <t>%</t>
    <phoneticPr fontId="4" type="noConversion"/>
  </si>
  <si>
    <t>Flaked</t>
    <phoneticPr fontId="4" type="noConversion"/>
  </si>
  <si>
    <t>Core</t>
    <phoneticPr fontId="4" type="noConversion"/>
  </si>
  <si>
    <t>spheroids</t>
    <phoneticPr fontId="4" type="noConversion"/>
  </si>
  <si>
    <t>Core Frag.</t>
    <phoneticPr fontId="4" type="noConversion"/>
  </si>
  <si>
    <t>Retouched tool</t>
    <phoneticPr fontId="4" type="noConversion"/>
  </si>
  <si>
    <t>detached</t>
    <phoneticPr fontId="4" type="noConversion"/>
  </si>
  <si>
    <t>Flake</t>
    <phoneticPr fontId="4" type="noConversion"/>
  </si>
  <si>
    <t>Flake Frag.</t>
    <phoneticPr fontId="4" type="noConversion"/>
  </si>
  <si>
    <t>Angular Frag.</t>
    <phoneticPr fontId="4" type="noConversion"/>
  </si>
  <si>
    <t>Pounded</t>
    <phoneticPr fontId="4" type="noConversion"/>
  </si>
  <si>
    <t>Unmodified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</si>
</sst>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5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left"/>
    </xf>
    <xf numFmtId="176" fontId="3" fillId="0" borderId="0" xfId="1" applyNumberFormat="1" applyFont="1" applyAlignment="1">
      <alignment horizontal="left"/>
    </xf>
    <xf numFmtId="176" fontId="0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176" fontId="3" fillId="0" borderId="0" xfId="1" applyNumberFormat="1" applyFont="1" applyAlignment="1"/>
    <xf numFmtId="176" fontId="0" fillId="0" borderId="0" xfId="1" applyNumberFormat="1" applyFont="1" applyAlignment="1"/>
    <xf numFmtId="0" fontId="0" fillId="0" borderId="0" xfId="0" applyAlignment="1">
      <alignment horizontal="right"/>
    </xf>
    <xf numFmtId="176" fontId="0" fillId="0" borderId="0" xfId="1" applyNumberFormat="1" applyFont="1" applyAlignment="1">
      <alignment horizontal="right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128CC-0AD1-46D3-B9B7-3F5FB785E646}">
  <dimension ref="A1:L14"/>
  <sheetViews>
    <sheetView tabSelected="1" workbookViewId="0">
      <selection activeCell="B2" sqref="B2"/>
    </sheetView>
  </sheetViews>
  <sheetFormatPr defaultRowHeight="13.8"/>
  <sheetData>
    <row r="1" spans="1:12" ht="15.6">
      <c r="A1" s="1"/>
      <c r="B1" s="1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3" t="s">
        <v>4</v>
      </c>
      <c r="L1" s="3"/>
    </row>
    <row r="2" spans="1:12" ht="15.6">
      <c r="A2" s="1"/>
      <c r="B2" s="1"/>
      <c r="C2" s="4" t="s">
        <v>5</v>
      </c>
      <c r="D2" s="4" t="s">
        <v>6</v>
      </c>
      <c r="E2" s="4" t="s">
        <v>5</v>
      </c>
      <c r="F2" s="4" t="s">
        <v>6</v>
      </c>
      <c r="G2" s="4" t="s">
        <v>5</v>
      </c>
      <c r="H2" s="4" t="s">
        <v>6</v>
      </c>
      <c r="I2" s="4" t="s">
        <v>5</v>
      </c>
      <c r="J2" s="4" t="s">
        <v>6</v>
      </c>
      <c r="K2" s="4" t="s">
        <v>5</v>
      </c>
      <c r="L2" s="4" t="s">
        <v>6</v>
      </c>
    </row>
    <row r="3" spans="1:12" ht="15.6">
      <c r="A3" s="5" t="s">
        <v>7</v>
      </c>
      <c r="B3" s="1"/>
      <c r="C3" s="6">
        <f>C4+C5+C6+C7</f>
        <v>177</v>
      </c>
      <c r="D3" s="7">
        <f>C3/637</f>
        <v>0.27786499215070642</v>
      </c>
      <c r="E3" s="6">
        <f>E4+E5+E6+E7</f>
        <v>65</v>
      </c>
      <c r="F3" s="7">
        <f>E3/271</f>
        <v>0.23985239852398524</v>
      </c>
      <c r="G3" s="6">
        <f>+G4+G5+G6+G7</f>
        <v>4</v>
      </c>
      <c r="H3" s="7">
        <f>G3/29</f>
        <v>0.13793103448275862</v>
      </c>
      <c r="I3" s="6">
        <f>I4+I5+I6+I7</f>
        <v>2</v>
      </c>
      <c r="J3" s="8">
        <f>I3/20</f>
        <v>0.1</v>
      </c>
      <c r="K3" s="9">
        <f>C3+E3+G3+I3</f>
        <v>248</v>
      </c>
      <c r="L3" s="8">
        <f>K3/957</f>
        <v>0.25914315569487983</v>
      </c>
    </row>
    <row r="4" spans="1:12" ht="15.6">
      <c r="A4" s="5"/>
      <c r="B4" s="5" t="s">
        <v>8</v>
      </c>
      <c r="C4" s="1">
        <v>66</v>
      </c>
      <c r="D4" s="10">
        <f t="shared" ref="D4:D13" si="0">C4/637</f>
        <v>0.10361067503924647</v>
      </c>
      <c r="E4" s="1">
        <v>24</v>
      </c>
      <c r="F4" s="10">
        <f t="shared" ref="F4:F13" si="1">E4/271</f>
        <v>8.8560885608856083E-2</v>
      </c>
      <c r="G4" s="1">
        <v>3</v>
      </c>
      <c r="H4" s="10">
        <f t="shared" ref="H4:H13" si="2">G4/29</f>
        <v>0.10344827586206896</v>
      </c>
      <c r="I4" s="1">
        <v>1</v>
      </c>
      <c r="J4" s="11">
        <f t="shared" ref="J4:J13" si="3">I4/20</f>
        <v>0.05</v>
      </c>
      <c r="K4" s="12">
        <f t="shared" ref="K4:K14" si="4">C4+E4+G4+I4</f>
        <v>94</v>
      </c>
      <c r="L4" s="13">
        <f t="shared" ref="L4:L13" si="5">K4/957</f>
        <v>9.8223615464994779E-2</v>
      </c>
    </row>
    <row r="5" spans="1:12" ht="15.6">
      <c r="A5" s="5"/>
      <c r="B5" s="1" t="s">
        <v>9</v>
      </c>
      <c r="C5" s="1">
        <v>10</v>
      </c>
      <c r="D5" s="10">
        <f t="shared" si="0"/>
        <v>1.5698587127158554E-2</v>
      </c>
      <c r="E5" s="1">
        <v>2</v>
      </c>
      <c r="F5" s="10">
        <f t="shared" si="1"/>
        <v>7.3800738007380072E-3</v>
      </c>
      <c r="G5" s="1">
        <v>0</v>
      </c>
      <c r="H5" s="10">
        <f t="shared" si="2"/>
        <v>0</v>
      </c>
      <c r="I5" s="1">
        <v>0</v>
      </c>
      <c r="J5" s="11">
        <f t="shared" si="3"/>
        <v>0</v>
      </c>
      <c r="K5" s="12">
        <f t="shared" si="4"/>
        <v>12</v>
      </c>
      <c r="L5" s="13">
        <f t="shared" si="5"/>
        <v>1.2539184952978056E-2</v>
      </c>
    </row>
    <row r="6" spans="1:12" ht="15.6">
      <c r="A6" s="1"/>
      <c r="B6" s="5" t="s">
        <v>10</v>
      </c>
      <c r="C6" s="1">
        <v>49</v>
      </c>
      <c r="D6" s="10">
        <f t="shared" si="0"/>
        <v>7.6923076923076927E-2</v>
      </c>
      <c r="E6" s="1">
        <v>11</v>
      </c>
      <c r="F6" s="10">
        <f t="shared" si="1"/>
        <v>4.0590405904059039E-2</v>
      </c>
      <c r="G6" s="1">
        <v>0</v>
      </c>
      <c r="H6" s="10">
        <f t="shared" si="2"/>
        <v>0</v>
      </c>
      <c r="I6" s="1">
        <v>0</v>
      </c>
      <c r="J6" s="11">
        <f t="shared" si="3"/>
        <v>0</v>
      </c>
      <c r="K6" s="12">
        <f t="shared" si="4"/>
        <v>60</v>
      </c>
      <c r="L6" s="13">
        <f t="shared" si="5"/>
        <v>6.2695924764890276E-2</v>
      </c>
    </row>
    <row r="7" spans="1:12" ht="15.6">
      <c r="A7" s="1"/>
      <c r="B7" s="5" t="s">
        <v>11</v>
      </c>
      <c r="C7" s="1">
        <v>52</v>
      </c>
      <c r="D7" s="10">
        <f t="shared" si="0"/>
        <v>8.1632653061224483E-2</v>
      </c>
      <c r="E7" s="1">
        <v>28</v>
      </c>
      <c r="F7" s="10">
        <f t="shared" si="1"/>
        <v>0.10332103321033211</v>
      </c>
      <c r="G7" s="1">
        <v>1</v>
      </c>
      <c r="H7" s="10">
        <f t="shared" si="2"/>
        <v>3.4482758620689655E-2</v>
      </c>
      <c r="I7" s="1">
        <v>1</v>
      </c>
      <c r="J7" s="11">
        <f t="shared" si="3"/>
        <v>0.05</v>
      </c>
      <c r="K7" s="12">
        <f t="shared" si="4"/>
        <v>82</v>
      </c>
      <c r="L7" s="13">
        <f t="shared" si="5"/>
        <v>8.5684430512016713E-2</v>
      </c>
    </row>
    <row r="8" spans="1:12" ht="15.6">
      <c r="A8" s="5" t="s">
        <v>12</v>
      </c>
      <c r="B8" s="5"/>
      <c r="C8" s="9">
        <f>+C9+C10+C11</f>
        <v>450</v>
      </c>
      <c r="D8" s="7">
        <f t="shared" si="0"/>
        <v>0.70643642072213497</v>
      </c>
      <c r="E8" s="9">
        <f>E9+E10+E11</f>
        <v>199</v>
      </c>
      <c r="F8" s="7">
        <f t="shared" si="1"/>
        <v>0.73431734317343178</v>
      </c>
      <c r="G8" s="9">
        <f>G9+G10+G11</f>
        <v>21</v>
      </c>
      <c r="H8" s="7">
        <f t="shared" si="2"/>
        <v>0.72413793103448276</v>
      </c>
      <c r="I8" s="9">
        <f>I9+I10+I11</f>
        <v>18</v>
      </c>
      <c r="J8" s="8">
        <f t="shared" si="3"/>
        <v>0.9</v>
      </c>
      <c r="K8" s="9">
        <f t="shared" si="4"/>
        <v>688</v>
      </c>
      <c r="L8" s="8">
        <f t="shared" si="5"/>
        <v>0.71891327063740862</v>
      </c>
    </row>
    <row r="9" spans="1:12" ht="15.6">
      <c r="A9" s="5"/>
      <c r="B9" s="5" t="s">
        <v>13</v>
      </c>
      <c r="C9" s="1">
        <v>224</v>
      </c>
      <c r="D9" s="10">
        <f t="shared" si="0"/>
        <v>0.35164835164835168</v>
      </c>
      <c r="E9" s="1">
        <v>107</v>
      </c>
      <c r="F9" s="10">
        <f t="shared" si="1"/>
        <v>0.39483394833948338</v>
      </c>
      <c r="G9" s="1">
        <v>8</v>
      </c>
      <c r="H9" s="10">
        <f t="shared" si="2"/>
        <v>0.27586206896551724</v>
      </c>
      <c r="I9" s="1">
        <v>7</v>
      </c>
      <c r="J9" s="11">
        <f t="shared" si="3"/>
        <v>0.35</v>
      </c>
      <c r="K9" s="1">
        <f t="shared" si="4"/>
        <v>346</v>
      </c>
      <c r="L9" s="11">
        <f t="shared" si="5"/>
        <v>0.36154649947753398</v>
      </c>
    </row>
    <row r="10" spans="1:12" ht="15.6">
      <c r="A10" s="1"/>
      <c r="B10" s="5" t="s">
        <v>14</v>
      </c>
      <c r="C10" s="1">
        <v>122</v>
      </c>
      <c r="D10" s="10">
        <f t="shared" si="0"/>
        <v>0.19152276295133439</v>
      </c>
      <c r="E10" s="1">
        <v>52</v>
      </c>
      <c r="F10" s="10">
        <f t="shared" si="1"/>
        <v>0.1918819188191882</v>
      </c>
      <c r="G10" s="1">
        <v>9</v>
      </c>
      <c r="H10" s="10">
        <f t="shared" si="2"/>
        <v>0.31034482758620691</v>
      </c>
      <c r="I10" s="1">
        <v>8</v>
      </c>
      <c r="J10" s="11">
        <f t="shared" si="3"/>
        <v>0.4</v>
      </c>
      <c r="K10" s="1">
        <f t="shared" si="4"/>
        <v>191</v>
      </c>
      <c r="L10" s="11">
        <f t="shared" si="5"/>
        <v>0.19958202716823406</v>
      </c>
    </row>
    <row r="11" spans="1:12" ht="15.6">
      <c r="A11" s="1"/>
      <c r="B11" s="5" t="s">
        <v>15</v>
      </c>
      <c r="C11" s="1">
        <v>104</v>
      </c>
      <c r="D11" s="10">
        <f t="shared" si="0"/>
        <v>0.16326530612244897</v>
      </c>
      <c r="E11" s="1">
        <v>40</v>
      </c>
      <c r="F11" s="10">
        <f t="shared" si="1"/>
        <v>0.14760147601476015</v>
      </c>
      <c r="G11" s="1">
        <v>4</v>
      </c>
      <c r="H11" s="10">
        <f t="shared" si="2"/>
        <v>0.13793103448275862</v>
      </c>
      <c r="I11" s="1">
        <v>3</v>
      </c>
      <c r="J11" s="11">
        <f t="shared" si="3"/>
        <v>0.15</v>
      </c>
      <c r="K11" s="1">
        <f t="shared" si="4"/>
        <v>151</v>
      </c>
      <c r="L11" s="11">
        <f t="shared" si="5"/>
        <v>0.15778474399164055</v>
      </c>
    </row>
    <row r="12" spans="1:12" ht="15.6">
      <c r="A12" s="5" t="s">
        <v>16</v>
      </c>
      <c r="B12" s="1"/>
      <c r="C12" s="9">
        <v>2</v>
      </c>
      <c r="D12" s="7">
        <f t="shared" si="0"/>
        <v>3.1397174254317113E-3</v>
      </c>
      <c r="E12" s="9">
        <v>2</v>
      </c>
      <c r="F12" s="7">
        <f t="shared" si="1"/>
        <v>7.3800738007380072E-3</v>
      </c>
      <c r="G12" s="9">
        <v>0</v>
      </c>
      <c r="H12" s="7">
        <f t="shared" si="2"/>
        <v>0</v>
      </c>
      <c r="I12" s="9">
        <v>0</v>
      </c>
      <c r="J12" s="8">
        <f t="shared" si="3"/>
        <v>0</v>
      </c>
      <c r="K12" s="9">
        <f t="shared" si="4"/>
        <v>4</v>
      </c>
      <c r="L12" s="8">
        <f t="shared" si="5"/>
        <v>4.1797283176593526E-3</v>
      </c>
    </row>
    <row r="13" spans="1:12" ht="15.6">
      <c r="A13" s="5" t="s">
        <v>17</v>
      </c>
      <c r="B13" s="1"/>
      <c r="C13" s="9">
        <v>8</v>
      </c>
      <c r="D13" s="7">
        <f t="shared" si="0"/>
        <v>1.2558869701726845E-2</v>
      </c>
      <c r="E13" s="9">
        <v>5</v>
      </c>
      <c r="F13" s="7">
        <f t="shared" si="1"/>
        <v>1.8450184501845018E-2</v>
      </c>
      <c r="G13" s="9">
        <v>4</v>
      </c>
      <c r="H13" s="7">
        <f t="shared" si="2"/>
        <v>0.13793103448275862</v>
      </c>
      <c r="I13" s="9">
        <v>0</v>
      </c>
      <c r="J13" s="8">
        <f t="shared" si="3"/>
        <v>0</v>
      </c>
      <c r="K13" s="9">
        <f t="shared" si="4"/>
        <v>17</v>
      </c>
      <c r="L13" s="8">
        <f t="shared" si="5"/>
        <v>1.7763845350052248E-2</v>
      </c>
    </row>
    <row r="14" spans="1:12" ht="15.6">
      <c r="A14" s="5" t="s">
        <v>4</v>
      </c>
      <c r="B14" s="1"/>
      <c r="C14" s="9">
        <f>C3+C8+C12+C13</f>
        <v>637</v>
      </c>
      <c r="D14" s="7"/>
      <c r="E14" s="9">
        <f>E3+E8+E12+E13</f>
        <v>271</v>
      </c>
      <c r="F14" s="7"/>
      <c r="G14" s="9">
        <f>G3+G8+G12+G13</f>
        <v>29</v>
      </c>
      <c r="H14" s="7"/>
      <c r="I14" s="9">
        <f>I3+I8+I12+I13</f>
        <v>20</v>
      </c>
      <c r="J14" s="8"/>
      <c r="K14" s="9">
        <f t="shared" si="4"/>
        <v>957</v>
      </c>
      <c r="L14" s="8"/>
    </row>
  </sheetData>
  <mergeCells count="5">
    <mergeCell ref="C1:D1"/>
    <mergeCell ref="E1:F1"/>
    <mergeCell ref="G1:H1"/>
    <mergeCell ref="I1:J1"/>
    <mergeCell ref="K1:L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 叶</dc:creator>
  <cp:lastModifiedBy>芷 叶</cp:lastModifiedBy>
  <dcterms:created xsi:type="dcterms:W3CDTF">2025-06-25T00:07:42Z</dcterms:created>
  <dcterms:modified xsi:type="dcterms:W3CDTF">2025-06-25T00:08:48Z</dcterms:modified>
</cp:coreProperties>
</file>