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Lithic_Analysis\QSYSpheroidsStudy\analysis\data\derived_data\"/>
    </mc:Choice>
  </mc:AlternateContent>
  <xr:revisionPtr revIDLastSave="0" documentId="13_ncr:1_{F8FA750A-7EFF-40CC-B6A4-46E5D0E30FE9}" xr6:coauthVersionLast="47" xr6:coauthVersionMax="47" xr10:uidLastSave="{00000000-0000-0000-0000-000000000000}"/>
  <bookViews>
    <workbookView xWindow="-108" yWindow="-108" windowWidth="23256" windowHeight="12456" activeTab="1" xr2:uid="{AB97B327-3DD6-4E43-82ED-5E3E3CC8E6BE}"/>
  </bookViews>
  <sheets>
    <sheet name="localities" sheetId="1" r:id="rId1"/>
    <sheet name="raw_materi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2" l="1"/>
  <c r="J14" i="2"/>
  <c r="H13" i="2"/>
  <c r="H14" i="2"/>
  <c r="F13" i="2"/>
  <c r="F14" i="2"/>
  <c r="D13" i="2"/>
  <c r="D14" i="2"/>
  <c r="J12" i="2"/>
  <c r="H12" i="2"/>
  <c r="F12" i="2"/>
  <c r="D12" i="2"/>
  <c r="J8" i="2"/>
  <c r="H8" i="2"/>
  <c r="F8" i="2"/>
  <c r="D8" i="2"/>
  <c r="J3" i="2"/>
  <c r="H3" i="2"/>
  <c r="F3" i="2"/>
  <c r="D3" i="2"/>
  <c r="J10" i="2"/>
  <c r="J11" i="2"/>
  <c r="J9" i="2"/>
  <c r="H10" i="2"/>
  <c r="H11" i="2"/>
  <c r="H9" i="2"/>
  <c r="F10" i="2"/>
  <c r="F11" i="2"/>
  <c r="F9" i="2"/>
  <c r="D10" i="2"/>
  <c r="D11" i="2"/>
  <c r="D9" i="2"/>
  <c r="J5" i="2"/>
  <c r="J6" i="2"/>
  <c r="J7" i="2"/>
  <c r="J4" i="2"/>
  <c r="H5" i="2"/>
  <c r="H6" i="2"/>
  <c r="H7" i="2"/>
  <c r="H4" i="2"/>
  <c r="F5" i="2"/>
  <c r="F6" i="2"/>
  <c r="F7" i="2"/>
  <c r="F4" i="2"/>
  <c r="D5" i="2"/>
  <c r="D6" i="2"/>
  <c r="D7" i="2"/>
  <c r="D4" i="2"/>
  <c r="E8" i="2"/>
  <c r="G8" i="2"/>
  <c r="I8" i="2"/>
  <c r="K8" i="2"/>
  <c r="C8" i="2"/>
  <c r="E3" i="2"/>
  <c r="G3" i="2"/>
  <c r="I3" i="2"/>
  <c r="K3" i="2"/>
  <c r="K5" i="2"/>
  <c r="K6" i="2"/>
  <c r="K7" i="2"/>
  <c r="K9" i="2"/>
  <c r="K10" i="2"/>
  <c r="K11" i="2"/>
  <c r="K12" i="2"/>
  <c r="K13" i="2"/>
  <c r="K14" i="2"/>
  <c r="K4" i="2"/>
  <c r="C3" i="2"/>
  <c r="C3" i="1"/>
  <c r="D3" i="1" s="1"/>
  <c r="K13" i="1"/>
  <c r="L13" i="1" s="1"/>
  <c r="J13" i="1"/>
  <c r="H13" i="1"/>
  <c r="F13" i="1"/>
  <c r="D13" i="1"/>
  <c r="K12" i="1"/>
  <c r="L12" i="1" s="1"/>
  <c r="J12" i="1"/>
  <c r="H12" i="1"/>
  <c r="F12" i="1"/>
  <c r="D12" i="1"/>
  <c r="K11" i="1"/>
  <c r="L11" i="1" s="1"/>
  <c r="J11" i="1"/>
  <c r="H11" i="1"/>
  <c r="F11" i="1"/>
  <c r="D11" i="1"/>
  <c r="L10" i="1"/>
  <c r="K10" i="1"/>
  <c r="J10" i="1"/>
  <c r="H10" i="1"/>
  <c r="F10" i="1"/>
  <c r="D10" i="1"/>
  <c r="K9" i="1"/>
  <c r="L9" i="1" s="1"/>
  <c r="J9" i="1"/>
  <c r="H9" i="1"/>
  <c r="F9" i="1"/>
  <c r="D9" i="1"/>
  <c r="J8" i="1"/>
  <c r="I8" i="1"/>
  <c r="G8" i="1"/>
  <c r="H8" i="1" s="1"/>
  <c r="E8" i="1"/>
  <c r="F8" i="1" s="1"/>
  <c r="C8" i="1"/>
  <c r="K8" i="1" s="1"/>
  <c r="L8" i="1" s="1"/>
  <c r="L7" i="1"/>
  <c r="K7" i="1"/>
  <c r="J7" i="1"/>
  <c r="H7" i="1"/>
  <c r="F7" i="1"/>
  <c r="D7" i="1"/>
  <c r="K6" i="1"/>
  <c r="L6" i="1" s="1"/>
  <c r="J6" i="1"/>
  <c r="H6" i="1"/>
  <c r="F6" i="1"/>
  <c r="D6" i="1"/>
  <c r="L5" i="1"/>
  <c r="K5" i="1"/>
  <c r="J5" i="1"/>
  <c r="H5" i="1"/>
  <c r="F5" i="1"/>
  <c r="D5" i="1"/>
  <c r="K4" i="1"/>
  <c r="L4" i="1" s="1"/>
  <c r="J4" i="1"/>
  <c r="H4" i="1"/>
  <c r="F4" i="1"/>
  <c r="D4" i="1"/>
  <c r="J3" i="1"/>
  <c r="I3" i="1"/>
  <c r="I14" i="1" s="1"/>
  <c r="H3" i="1"/>
  <c r="G3" i="1"/>
  <c r="G14" i="1" s="1"/>
  <c r="E3" i="1"/>
  <c r="E14" i="1" s="1"/>
  <c r="K3" i="1" l="1"/>
  <c r="L3" i="1" s="1"/>
  <c r="D8" i="1"/>
  <c r="C14" i="1"/>
  <c r="K14" i="1" s="1"/>
  <c r="F3" i="1"/>
</calcChain>
</file>

<file path=xl/sharedStrings.xml><?xml version="1.0" encoding="utf-8"?>
<sst xmlns="http://schemas.openxmlformats.org/spreadsheetml/2006/main" count="54" uniqueCount="36">
  <si>
    <t>QSY-A</t>
    <phoneticPr fontId="4" type="noConversion"/>
  </si>
  <si>
    <t>QSY-B</t>
    <phoneticPr fontId="4" type="noConversion"/>
  </si>
  <si>
    <t>QSY-C</t>
    <phoneticPr fontId="4" type="noConversion"/>
  </si>
  <si>
    <t>QSY-D</t>
    <phoneticPr fontId="4" type="noConversion"/>
  </si>
  <si>
    <t>Total</t>
    <phoneticPr fontId="4" type="noConversion"/>
  </si>
  <si>
    <t>n</t>
    <phoneticPr fontId="4" type="noConversion"/>
  </si>
  <si>
    <t>%</t>
    <phoneticPr fontId="4" type="noConversion"/>
  </si>
  <si>
    <t>Flaked</t>
    <phoneticPr fontId="4" type="noConversion"/>
  </si>
  <si>
    <t>Core</t>
    <phoneticPr fontId="4" type="noConversion"/>
  </si>
  <si>
    <t>Core Frag.</t>
    <phoneticPr fontId="4" type="noConversion"/>
  </si>
  <si>
    <t>Retouched tool</t>
    <phoneticPr fontId="4" type="noConversion"/>
  </si>
  <si>
    <t>detached</t>
    <phoneticPr fontId="4" type="noConversion"/>
  </si>
  <si>
    <t>Flake</t>
    <phoneticPr fontId="4" type="noConversion"/>
  </si>
  <si>
    <t>Flake Frag.</t>
    <phoneticPr fontId="4" type="noConversion"/>
  </si>
  <si>
    <t>Angular Frag.</t>
    <phoneticPr fontId="4" type="noConversion"/>
  </si>
  <si>
    <t>Pounded</t>
    <phoneticPr fontId="4" type="noConversion"/>
  </si>
  <si>
    <t>Unmodified</t>
    <phoneticPr fontId="4" type="noConversion"/>
  </si>
  <si>
    <t>Lava</t>
  </si>
  <si>
    <t>Dolomite</t>
  </si>
  <si>
    <t>Chert</t>
  </si>
  <si>
    <t>Other</t>
  </si>
  <si>
    <t>Total</t>
  </si>
  <si>
    <t>n</t>
  </si>
  <si>
    <t>%</t>
  </si>
  <si>
    <t>Flaked</t>
  </si>
  <si>
    <t>Core</t>
  </si>
  <si>
    <t>Core Frag.</t>
  </si>
  <si>
    <t>Retouched tool</t>
  </si>
  <si>
    <t>detached</t>
  </si>
  <si>
    <t>Flake</t>
  </si>
  <si>
    <t>Flake Frag.</t>
  </si>
  <si>
    <t>Angular Frag.</t>
  </si>
  <si>
    <t>Pounded</t>
  </si>
  <si>
    <t>Unmodified</t>
  </si>
  <si>
    <t>Spheroids</t>
    <phoneticPr fontId="2" type="noConversion"/>
  </si>
  <si>
    <t>Spheroids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</si>
</sst>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name val="宋体"/>
    </font>
    <font>
      <sz val="9"/>
      <name val="宋体"/>
    </font>
    <font>
      <sz val="11"/>
      <color theme="1"/>
      <name val="等线"/>
      <scheme val="minor"/>
    </font>
    <font>
      <sz val="11"/>
      <color theme="1"/>
      <name val="Arial"/>
      <family val="2"/>
    </font>
    <font>
      <sz val="12"/>
      <name val="Arial"/>
      <family val="2"/>
    </font>
    <font>
      <sz val="11"/>
      <color rgb="FFFF0000"/>
      <name val="Arial"/>
      <family val="2"/>
    </font>
    <font>
      <sz val="11"/>
      <name val="Arial"/>
      <family val="2"/>
    </font>
    <font>
      <sz val="12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3" fillId="0" borderId="0"/>
    <xf numFmtId="9" fontId="3" fillId="0" borderId="0" applyFont="0" applyFill="0" applyBorder="0" applyAlignment="0" applyProtection="0"/>
    <xf numFmtId="9" fontId="5" fillId="0" borderId="0" applyFont="0" applyFill="0" applyBorder="0" applyAlignment="0" applyProtection="0">
      <alignment vertical="center"/>
    </xf>
    <xf numFmtId="0" fontId="5" fillId="0" borderId="0">
      <alignment vertical="center"/>
    </xf>
  </cellStyleXfs>
  <cellXfs count="28">
    <xf numFmtId="0" fontId="0" fillId="0" borderId="0" xfId="0">
      <alignment vertical="center"/>
    </xf>
    <xf numFmtId="0" fontId="6" fillId="0" borderId="0" xfId="0" applyFont="1" applyAlignment="1"/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 applyAlignment="1"/>
    <xf numFmtId="0" fontId="7" fillId="0" borderId="0" xfId="0" applyFont="1" applyAlignment="1">
      <alignment horizontal="left"/>
    </xf>
    <xf numFmtId="176" fontId="7" fillId="0" borderId="0" xfId="1" applyNumberFormat="1" applyFont="1" applyAlignment="1">
      <alignment horizontal="left"/>
    </xf>
    <xf numFmtId="176" fontId="6" fillId="0" borderId="0" xfId="1" applyNumberFormat="1" applyFont="1" applyAlignment="1">
      <alignment horizontal="left"/>
    </xf>
    <xf numFmtId="0" fontId="6" fillId="0" borderId="0" xfId="0" applyFont="1" applyAlignment="1">
      <alignment horizontal="left"/>
    </xf>
    <xf numFmtId="176" fontId="7" fillId="0" borderId="0" xfId="1" applyNumberFormat="1" applyFont="1" applyAlignment="1"/>
    <xf numFmtId="176" fontId="6" fillId="0" borderId="0" xfId="1" applyNumberFormat="1" applyFont="1" applyAlignment="1"/>
    <xf numFmtId="0" fontId="6" fillId="0" borderId="0" xfId="0" applyFont="1" applyAlignment="1">
      <alignment horizontal="right"/>
    </xf>
    <xf numFmtId="176" fontId="6" fillId="0" borderId="0" xfId="1" applyNumberFormat="1" applyFont="1" applyAlignment="1">
      <alignment horizontal="right"/>
    </xf>
    <xf numFmtId="0" fontId="8" fillId="0" borderId="0" xfId="0" applyFont="1" applyAlignment="1"/>
    <xf numFmtId="0" fontId="8" fillId="0" borderId="0" xfId="0" applyFont="1" applyAlignment="1">
      <alignment horizontal="left"/>
    </xf>
    <xf numFmtId="0" fontId="7" fillId="0" borderId="0" xfId="2" applyFont="1" applyFill="1"/>
    <xf numFmtId="0" fontId="7" fillId="0" borderId="0" xfId="2" applyFont="1" applyFill="1" applyAlignment="1">
      <alignment horizontal="center"/>
    </xf>
    <xf numFmtId="0" fontId="9" fillId="0" borderId="0" xfId="0" applyFont="1" applyFill="1">
      <alignment vertical="center"/>
    </xf>
    <xf numFmtId="0" fontId="7" fillId="0" borderId="0" xfId="2" applyFont="1" applyFill="1" applyAlignment="1">
      <alignment horizontal="center"/>
    </xf>
    <xf numFmtId="0" fontId="7" fillId="0" borderId="0" xfId="2" applyFont="1" applyFill="1" applyAlignment="1">
      <alignment horizontal="left"/>
    </xf>
    <xf numFmtId="176" fontId="7" fillId="0" borderId="0" xfId="3" applyNumberFormat="1" applyFont="1" applyFill="1" applyAlignment="1">
      <alignment horizontal="left"/>
    </xf>
    <xf numFmtId="176" fontId="7" fillId="0" borderId="0" xfId="3" applyNumberFormat="1" applyFont="1" applyFill="1" applyAlignment="1">
      <alignment horizontal="right"/>
    </xf>
    <xf numFmtId="0" fontId="10" fillId="0" borderId="0" xfId="2" applyFont="1" applyFill="1" applyAlignment="1">
      <alignment horizontal="right"/>
    </xf>
    <xf numFmtId="0" fontId="10" fillId="0" borderId="0" xfId="2" applyFont="1" applyFill="1" applyAlignment="1">
      <alignment horizontal="left"/>
    </xf>
    <xf numFmtId="176" fontId="10" fillId="0" borderId="0" xfId="3" applyNumberFormat="1" applyFont="1" applyFill="1" applyAlignment="1">
      <alignment horizontal="left"/>
    </xf>
    <xf numFmtId="176" fontId="7" fillId="0" borderId="0" xfId="1" applyNumberFormat="1" applyFont="1" applyFill="1" applyAlignment="1">
      <alignment horizontal="left"/>
    </xf>
  </cellXfs>
  <cellStyles count="6">
    <cellStyle name="百分比" xfId="1" builtinId="5"/>
    <cellStyle name="百分比 2" xfId="4" xr:uid="{4D7E07C9-ACDC-4043-90B3-B9FF9C658C68}"/>
    <cellStyle name="百分比 3" xfId="3" xr:uid="{0675C27C-101F-478A-B87A-1F95637240E5}"/>
    <cellStyle name="常规" xfId="0" builtinId="0"/>
    <cellStyle name="常规 2" xfId="5" xr:uid="{0200A106-47EE-4C9F-8B23-8C14F8535517}"/>
    <cellStyle name="常规 3" xfId="2" xr:uid="{16275AE0-17B4-4A65-9C2C-DB12070DADE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128CC-0AD1-46D3-B9B7-3F5FB785E646}">
  <dimension ref="A1:L14"/>
  <sheetViews>
    <sheetView workbookViewId="0">
      <selection activeCell="K15" sqref="K15"/>
    </sheetView>
  </sheetViews>
  <sheetFormatPr defaultRowHeight="13.8"/>
  <cols>
    <col min="1" max="16384" width="8.88671875" style="4"/>
  </cols>
  <sheetData>
    <row r="1" spans="1:12" ht="15">
      <c r="A1" s="1"/>
      <c r="B1" s="1"/>
      <c r="C1" s="2" t="s">
        <v>0</v>
      </c>
      <c r="D1" s="2"/>
      <c r="E1" s="2" t="s">
        <v>1</v>
      </c>
      <c r="F1" s="2"/>
      <c r="G1" s="2" t="s">
        <v>2</v>
      </c>
      <c r="H1" s="2"/>
      <c r="I1" s="2" t="s">
        <v>3</v>
      </c>
      <c r="J1" s="2"/>
      <c r="K1" s="3" t="s">
        <v>4</v>
      </c>
      <c r="L1" s="3"/>
    </row>
    <row r="2" spans="1:12" ht="15">
      <c r="A2" s="1"/>
      <c r="B2" s="1"/>
      <c r="C2" s="5" t="s">
        <v>5</v>
      </c>
      <c r="D2" s="5" t="s">
        <v>6</v>
      </c>
      <c r="E2" s="5" t="s">
        <v>5</v>
      </c>
      <c r="F2" s="5" t="s">
        <v>6</v>
      </c>
      <c r="G2" s="5" t="s">
        <v>5</v>
      </c>
      <c r="H2" s="5" t="s">
        <v>6</v>
      </c>
      <c r="I2" s="5" t="s">
        <v>5</v>
      </c>
      <c r="J2" s="5" t="s">
        <v>6</v>
      </c>
      <c r="K2" s="5" t="s">
        <v>5</v>
      </c>
      <c r="L2" s="5" t="s">
        <v>6</v>
      </c>
    </row>
    <row r="3" spans="1:12" ht="15">
      <c r="A3" s="6" t="s">
        <v>7</v>
      </c>
      <c r="B3" s="1"/>
      <c r="C3" s="7">
        <f>C4+C5+C6+C7</f>
        <v>177</v>
      </c>
      <c r="D3" s="8">
        <f>C3/636</f>
        <v>0.27830188679245282</v>
      </c>
      <c r="E3" s="7">
        <f>E4+E5+E6+E7</f>
        <v>65</v>
      </c>
      <c r="F3" s="8">
        <f>E3/271</f>
        <v>0.23985239852398524</v>
      </c>
      <c r="G3" s="7">
        <f>+G4+G5+G6+G7</f>
        <v>4</v>
      </c>
      <c r="H3" s="8">
        <f>G3/29</f>
        <v>0.13793103448275862</v>
      </c>
      <c r="I3" s="7">
        <f>I4+I5+I6+I7</f>
        <v>2</v>
      </c>
      <c r="J3" s="9">
        <f>I3/18</f>
        <v>0.1111111111111111</v>
      </c>
      <c r="K3" s="10">
        <f>C3+E3+G3+I3</f>
        <v>248</v>
      </c>
      <c r="L3" s="9">
        <f>K3/954</f>
        <v>0.25995807127882598</v>
      </c>
    </row>
    <row r="4" spans="1:12" ht="15">
      <c r="A4" s="6"/>
      <c r="B4" s="6" t="s">
        <v>8</v>
      </c>
      <c r="C4" s="15">
        <v>66</v>
      </c>
      <c r="D4" s="11">
        <f t="shared" ref="D4:D11" si="0">C4/637</f>
        <v>0.10361067503924647</v>
      </c>
      <c r="E4" s="15">
        <v>24</v>
      </c>
      <c r="F4" s="11">
        <f t="shared" ref="F4:F13" si="1">E4/271</f>
        <v>8.8560885608856083E-2</v>
      </c>
      <c r="G4" s="15">
        <v>3</v>
      </c>
      <c r="H4" s="11">
        <f t="shared" ref="H4:H13" si="2">G4/29</f>
        <v>0.10344827586206896</v>
      </c>
      <c r="I4" s="15">
        <v>1</v>
      </c>
      <c r="J4" s="12">
        <f t="shared" ref="J4:J13" si="3">I4/20</f>
        <v>0.05</v>
      </c>
      <c r="K4" s="13">
        <f t="shared" ref="K4:K14" si="4">C4+E4+G4+I4</f>
        <v>94</v>
      </c>
      <c r="L4" s="14">
        <f t="shared" ref="L4:L11" si="5">K4/957</f>
        <v>9.8223615464994779E-2</v>
      </c>
    </row>
    <row r="5" spans="1:12" ht="15">
      <c r="A5" s="6"/>
      <c r="B5" s="1" t="s">
        <v>35</v>
      </c>
      <c r="C5" s="15">
        <v>10</v>
      </c>
      <c r="D5" s="11">
        <f t="shared" si="0"/>
        <v>1.5698587127158554E-2</v>
      </c>
      <c r="E5" s="15">
        <v>2</v>
      </c>
      <c r="F5" s="11">
        <f t="shared" si="1"/>
        <v>7.3800738007380072E-3</v>
      </c>
      <c r="G5" s="1">
        <v>0</v>
      </c>
      <c r="H5" s="11">
        <f t="shared" si="2"/>
        <v>0</v>
      </c>
      <c r="I5" s="1">
        <v>0</v>
      </c>
      <c r="J5" s="12">
        <f t="shared" si="3"/>
        <v>0</v>
      </c>
      <c r="K5" s="13">
        <f t="shared" si="4"/>
        <v>12</v>
      </c>
      <c r="L5" s="14">
        <f t="shared" si="5"/>
        <v>1.2539184952978056E-2</v>
      </c>
    </row>
    <row r="6" spans="1:12" ht="15">
      <c r="A6" s="1"/>
      <c r="B6" s="6" t="s">
        <v>9</v>
      </c>
      <c r="C6" s="15">
        <v>49</v>
      </c>
      <c r="D6" s="11">
        <f t="shared" si="0"/>
        <v>7.6923076923076927E-2</v>
      </c>
      <c r="E6" s="15">
        <v>11</v>
      </c>
      <c r="F6" s="11">
        <f t="shared" si="1"/>
        <v>4.0590405904059039E-2</v>
      </c>
      <c r="G6" s="1">
        <v>0</v>
      </c>
      <c r="H6" s="11">
        <f t="shared" si="2"/>
        <v>0</v>
      </c>
      <c r="I6" s="1">
        <v>0</v>
      </c>
      <c r="J6" s="12">
        <f t="shared" si="3"/>
        <v>0</v>
      </c>
      <c r="K6" s="13">
        <f t="shared" si="4"/>
        <v>60</v>
      </c>
      <c r="L6" s="14">
        <f t="shared" si="5"/>
        <v>6.2695924764890276E-2</v>
      </c>
    </row>
    <row r="7" spans="1:12" ht="15">
      <c r="A7" s="1"/>
      <c r="B7" s="6" t="s">
        <v>10</v>
      </c>
      <c r="C7" s="15">
        <v>52</v>
      </c>
      <c r="D7" s="11">
        <f t="shared" si="0"/>
        <v>8.1632653061224483E-2</v>
      </c>
      <c r="E7" s="15">
        <v>28</v>
      </c>
      <c r="F7" s="11">
        <f t="shared" si="1"/>
        <v>0.10332103321033211</v>
      </c>
      <c r="G7" s="15">
        <v>1</v>
      </c>
      <c r="H7" s="11">
        <f t="shared" si="2"/>
        <v>3.4482758620689655E-2</v>
      </c>
      <c r="I7" s="15">
        <v>1</v>
      </c>
      <c r="J7" s="12">
        <f t="shared" si="3"/>
        <v>0.05</v>
      </c>
      <c r="K7" s="13">
        <f t="shared" si="4"/>
        <v>82</v>
      </c>
      <c r="L7" s="14">
        <f t="shared" si="5"/>
        <v>8.5684430512016713E-2</v>
      </c>
    </row>
    <row r="8" spans="1:12" ht="15">
      <c r="A8" s="6" t="s">
        <v>11</v>
      </c>
      <c r="B8" s="6"/>
      <c r="C8" s="10">
        <f>+C9+C10+C11</f>
        <v>450</v>
      </c>
      <c r="D8" s="8">
        <f>C8/636</f>
        <v>0.70754716981132071</v>
      </c>
      <c r="E8" s="10">
        <f>E9+E10+E11</f>
        <v>199</v>
      </c>
      <c r="F8" s="8">
        <f t="shared" si="1"/>
        <v>0.73431734317343178</v>
      </c>
      <c r="G8" s="10">
        <f>G9+G10+G11</f>
        <v>21</v>
      </c>
      <c r="H8" s="8">
        <f t="shared" si="2"/>
        <v>0.72413793103448276</v>
      </c>
      <c r="I8" s="10">
        <f>I9+I10+I11</f>
        <v>16</v>
      </c>
      <c r="J8" s="9">
        <f>I8/18</f>
        <v>0.88888888888888884</v>
      </c>
      <c r="K8" s="10">
        <f t="shared" si="4"/>
        <v>686</v>
      </c>
      <c r="L8" s="9">
        <f>K8/954</f>
        <v>0.7190775681341719</v>
      </c>
    </row>
    <row r="9" spans="1:12" ht="15">
      <c r="A9" s="6"/>
      <c r="B9" s="6" t="s">
        <v>12</v>
      </c>
      <c r="C9" s="15">
        <v>224</v>
      </c>
      <c r="D9" s="11">
        <f t="shared" si="0"/>
        <v>0.35164835164835168</v>
      </c>
      <c r="E9" s="15">
        <v>107</v>
      </c>
      <c r="F9" s="11">
        <f t="shared" si="1"/>
        <v>0.39483394833948338</v>
      </c>
      <c r="G9" s="15">
        <v>8</v>
      </c>
      <c r="H9" s="11">
        <f t="shared" si="2"/>
        <v>0.27586206896551724</v>
      </c>
      <c r="I9" s="15">
        <v>5</v>
      </c>
      <c r="J9" s="12">
        <f t="shared" si="3"/>
        <v>0.25</v>
      </c>
      <c r="K9" s="1">
        <f t="shared" si="4"/>
        <v>344</v>
      </c>
      <c r="L9" s="12">
        <f t="shared" si="5"/>
        <v>0.35945663531870431</v>
      </c>
    </row>
    <row r="10" spans="1:12" ht="15">
      <c r="A10" s="1"/>
      <c r="B10" s="6" t="s">
        <v>13</v>
      </c>
      <c r="C10" s="15">
        <v>122</v>
      </c>
      <c r="D10" s="11">
        <f t="shared" si="0"/>
        <v>0.19152276295133439</v>
      </c>
      <c r="E10" s="15">
        <v>52</v>
      </c>
      <c r="F10" s="11">
        <f t="shared" si="1"/>
        <v>0.1918819188191882</v>
      </c>
      <c r="G10" s="15">
        <v>9</v>
      </c>
      <c r="H10" s="11">
        <f t="shared" si="2"/>
        <v>0.31034482758620691</v>
      </c>
      <c r="I10" s="15">
        <v>8</v>
      </c>
      <c r="J10" s="12">
        <f t="shared" si="3"/>
        <v>0.4</v>
      </c>
      <c r="K10" s="1">
        <f t="shared" si="4"/>
        <v>191</v>
      </c>
      <c r="L10" s="12">
        <f t="shared" si="5"/>
        <v>0.19958202716823406</v>
      </c>
    </row>
    <row r="11" spans="1:12" ht="15">
      <c r="A11" s="1"/>
      <c r="B11" s="6" t="s">
        <v>14</v>
      </c>
      <c r="C11" s="15">
        <v>104</v>
      </c>
      <c r="D11" s="11">
        <f t="shared" si="0"/>
        <v>0.16326530612244897</v>
      </c>
      <c r="E11" s="15">
        <v>40</v>
      </c>
      <c r="F11" s="11">
        <f t="shared" si="1"/>
        <v>0.14760147601476015</v>
      </c>
      <c r="G11" s="15">
        <v>4</v>
      </c>
      <c r="H11" s="11">
        <f t="shared" si="2"/>
        <v>0.13793103448275862</v>
      </c>
      <c r="I11" s="15">
        <v>3</v>
      </c>
      <c r="J11" s="12">
        <f t="shared" si="3"/>
        <v>0.15</v>
      </c>
      <c r="K11" s="1">
        <f t="shared" si="4"/>
        <v>151</v>
      </c>
      <c r="L11" s="12">
        <f t="shared" si="5"/>
        <v>0.15778474399164055</v>
      </c>
    </row>
    <row r="12" spans="1:12" ht="15">
      <c r="A12" s="6" t="s">
        <v>15</v>
      </c>
      <c r="B12" s="1"/>
      <c r="C12" s="16">
        <v>2</v>
      </c>
      <c r="D12" s="8">
        <f>C12/636</f>
        <v>3.1446540880503146E-3</v>
      </c>
      <c r="E12" s="16">
        <v>2</v>
      </c>
      <c r="F12" s="8">
        <f t="shared" si="1"/>
        <v>7.3800738007380072E-3</v>
      </c>
      <c r="G12" s="10">
        <v>0</v>
      </c>
      <c r="H12" s="8">
        <f t="shared" si="2"/>
        <v>0</v>
      </c>
      <c r="I12" s="10">
        <v>0</v>
      </c>
      <c r="J12" s="9">
        <f t="shared" si="3"/>
        <v>0</v>
      </c>
      <c r="K12" s="10">
        <f t="shared" si="4"/>
        <v>4</v>
      </c>
      <c r="L12" s="9">
        <f>K12/954</f>
        <v>4.1928721174004195E-3</v>
      </c>
    </row>
    <row r="13" spans="1:12" ht="15">
      <c r="A13" s="6" t="s">
        <v>16</v>
      </c>
      <c r="B13" s="1"/>
      <c r="C13" s="16">
        <v>8</v>
      </c>
      <c r="D13" s="8">
        <f>C13/636</f>
        <v>1.2578616352201259E-2</v>
      </c>
      <c r="E13" s="16">
        <v>5</v>
      </c>
      <c r="F13" s="8">
        <f t="shared" si="1"/>
        <v>1.8450184501845018E-2</v>
      </c>
      <c r="G13" s="16">
        <v>4</v>
      </c>
      <c r="H13" s="8">
        <f t="shared" si="2"/>
        <v>0.13793103448275862</v>
      </c>
      <c r="I13" s="10">
        <v>0</v>
      </c>
      <c r="J13" s="9">
        <f t="shared" si="3"/>
        <v>0</v>
      </c>
      <c r="K13" s="10">
        <f t="shared" si="4"/>
        <v>17</v>
      </c>
      <c r="L13" s="9">
        <f>K13/954</f>
        <v>1.781970649895178E-2</v>
      </c>
    </row>
    <row r="14" spans="1:12" ht="15">
      <c r="A14" s="6" t="s">
        <v>4</v>
      </c>
      <c r="B14" s="1"/>
      <c r="C14" s="10">
        <f>C3+C8+C12+C13</f>
        <v>637</v>
      </c>
      <c r="D14" s="8"/>
      <c r="E14" s="10">
        <f>E3+E8+E12+E13</f>
        <v>271</v>
      </c>
      <c r="F14" s="8"/>
      <c r="G14" s="10">
        <f>G3+G8+G12+G13</f>
        <v>29</v>
      </c>
      <c r="H14" s="8"/>
      <c r="I14" s="10">
        <f>I3+I8+I12+I13</f>
        <v>18</v>
      </c>
      <c r="J14" s="9"/>
      <c r="K14" s="10">
        <f t="shared" si="4"/>
        <v>955</v>
      </c>
      <c r="L14" s="9"/>
    </row>
  </sheetData>
  <mergeCells count="5">
    <mergeCell ref="C1:D1"/>
    <mergeCell ref="E1:F1"/>
    <mergeCell ref="G1:H1"/>
    <mergeCell ref="I1:J1"/>
    <mergeCell ref="K1:L1"/>
  </mergeCells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BA12B-92EB-4287-B225-E772F93B3BC0}">
  <dimension ref="A1:N17"/>
  <sheetViews>
    <sheetView tabSelected="1" workbookViewId="0">
      <selection activeCell="O10" sqref="O10"/>
    </sheetView>
  </sheetViews>
  <sheetFormatPr defaultRowHeight="13.8"/>
  <cols>
    <col min="3" max="11" width="9" bestFit="1" customWidth="1"/>
    <col min="12" max="12" width="9.44140625" bestFit="1" customWidth="1"/>
  </cols>
  <sheetData>
    <row r="1" spans="1:14" ht="15">
      <c r="A1" s="17"/>
      <c r="B1" s="17"/>
      <c r="C1" s="18" t="s">
        <v>17</v>
      </c>
      <c r="D1" s="18"/>
      <c r="E1" s="18" t="s">
        <v>18</v>
      </c>
      <c r="F1" s="18"/>
      <c r="G1" s="18" t="s">
        <v>19</v>
      </c>
      <c r="H1" s="18"/>
      <c r="I1" s="18" t="s">
        <v>20</v>
      </c>
      <c r="J1" s="18"/>
      <c r="K1" s="18" t="s">
        <v>21</v>
      </c>
      <c r="L1" s="18"/>
      <c r="M1" s="19"/>
      <c r="N1" s="19"/>
    </row>
    <row r="2" spans="1:14" ht="15">
      <c r="A2" s="17"/>
      <c r="B2" s="17"/>
      <c r="C2" s="20" t="s">
        <v>22</v>
      </c>
      <c r="D2" s="20" t="s">
        <v>23</v>
      </c>
      <c r="E2" s="20" t="s">
        <v>22</v>
      </c>
      <c r="F2" s="20" t="s">
        <v>23</v>
      </c>
      <c r="G2" s="20" t="s">
        <v>22</v>
      </c>
      <c r="H2" s="20" t="s">
        <v>23</v>
      </c>
      <c r="I2" s="20" t="s">
        <v>22</v>
      </c>
      <c r="J2" s="20" t="s">
        <v>23</v>
      </c>
      <c r="K2" s="20" t="s">
        <v>22</v>
      </c>
      <c r="L2" s="20" t="s">
        <v>23</v>
      </c>
      <c r="M2" s="19"/>
      <c r="N2" s="19"/>
    </row>
    <row r="3" spans="1:14" ht="15">
      <c r="A3" s="17" t="s">
        <v>24</v>
      </c>
      <c r="B3" s="17"/>
      <c r="C3" s="21">
        <f>C4+C5+C6+C7</f>
        <v>151</v>
      </c>
      <c r="D3" s="27">
        <f>C3/K3</f>
        <v>0.6088709677419355</v>
      </c>
      <c r="E3" s="21">
        <f t="shared" ref="D3:L3" si="0">E4+E5+E6+E7</f>
        <v>61</v>
      </c>
      <c r="F3" s="27">
        <f>E3/K3</f>
        <v>0.24596774193548387</v>
      </c>
      <c r="G3" s="21">
        <f t="shared" si="0"/>
        <v>13</v>
      </c>
      <c r="H3" s="27">
        <f>G3/K3</f>
        <v>5.2419354838709679E-2</v>
      </c>
      <c r="I3" s="21">
        <f t="shared" si="0"/>
        <v>23</v>
      </c>
      <c r="J3" s="27">
        <f>I3/K3</f>
        <v>9.2741935483870969E-2</v>
      </c>
      <c r="K3" s="21">
        <f t="shared" si="0"/>
        <v>248</v>
      </c>
      <c r="L3" s="21"/>
      <c r="M3" s="19"/>
      <c r="N3" s="19"/>
    </row>
    <row r="4" spans="1:14" ht="15">
      <c r="A4" s="17"/>
      <c r="B4" s="17" t="s">
        <v>25</v>
      </c>
      <c r="C4" s="24">
        <v>61</v>
      </c>
      <c r="D4" s="23">
        <f>C4/K4</f>
        <v>0.64893617021276595</v>
      </c>
      <c r="E4" s="24">
        <v>21</v>
      </c>
      <c r="F4" s="23">
        <f>E4/K4</f>
        <v>0.22340425531914893</v>
      </c>
      <c r="G4" s="24">
        <v>4</v>
      </c>
      <c r="H4" s="23">
        <f>G4/K4</f>
        <v>4.2553191489361701E-2</v>
      </c>
      <c r="I4" s="24">
        <v>8</v>
      </c>
      <c r="J4" s="23">
        <f>I4/K4</f>
        <v>8.5106382978723402E-2</v>
      </c>
      <c r="K4" s="17">
        <f>C4+E4+G4+I4</f>
        <v>94</v>
      </c>
      <c r="L4" s="23"/>
      <c r="M4" s="19"/>
      <c r="N4" s="19"/>
    </row>
    <row r="5" spans="1:14" ht="15">
      <c r="A5" s="17"/>
      <c r="B5" s="17" t="s">
        <v>34</v>
      </c>
      <c r="C5" s="24">
        <v>10</v>
      </c>
      <c r="D5" s="23">
        <f t="shared" ref="D5:D7" si="1">C5/K5</f>
        <v>0.83333333333333337</v>
      </c>
      <c r="E5" s="24">
        <v>2</v>
      </c>
      <c r="F5" s="23">
        <f t="shared" ref="F5:F7" si="2">E5/K5</f>
        <v>0.16666666666666666</v>
      </c>
      <c r="G5" s="24">
        <v>0</v>
      </c>
      <c r="H5" s="23">
        <f t="shared" ref="H5:H7" si="3">G5/K5</f>
        <v>0</v>
      </c>
      <c r="I5" s="24">
        <v>0</v>
      </c>
      <c r="J5" s="23">
        <f t="shared" ref="J5:J7" si="4">I5/K5</f>
        <v>0</v>
      </c>
      <c r="K5" s="17">
        <f t="shared" ref="K5:K14" si="5">C5+E5+G5+I5</f>
        <v>12</v>
      </c>
      <c r="L5" s="23"/>
      <c r="M5" s="19"/>
      <c r="N5" s="19"/>
    </row>
    <row r="6" spans="1:14" ht="15">
      <c r="A6" s="17"/>
      <c r="B6" s="17" t="s">
        <v>26</v>
      </c>
      <c r="C6" s="24">
        <v>31</v>
      </c>
      <c r="D6" s="23">
        <f t="shared" si="1"/>
        <v>0.51666666666666672</v>
      </c>
      <c r="E6" s="24">
        <v>17</v>
      </c>
      <c r="F6" s="23">
        <f t="shared" si="2"/>
        <v>0.28333333333333333</v>
      </c>
      <c r="G6" s="24">
        <v>3</v>
      </c>
      <c r="H6" s="23">
        <f t="shared" si="3"/>
        <v>0.05</v>
      </c>
      <c r="I6" s="24">
        <v>9</v>
      </c>
      <c r="J6" s="23">
        <f t="shared" si="4"/>
        <v>0.15</v>
      </c>
      <c r="K6" s="17">
        <f t="shared" si="5"/>
        <v>60</v>
      </c>
      <c r="L6" s="23"/>
      <c r="M6" s="19"/>
      <c r="N6" s="19"/>
    </row>
    <row r="7" spans="1:14" ht="15">
      <c r="A7" s="17"/>
      <c r="B7" s="17" t="s">
        <v>27</v>
      </c>
      <c r="C7" s="24">
        <v>49</v>
      </c>
      <c r="D7" s="23">
        <f t="shared" si="1"/>
        <v>0.59756097560975607</v>
      </c>
      <c r="E7" s="24">
        <v>21</v>
      </c>
      <c r="F7" s="23">
        <f t="shared" si="2"/>
        <v>0.25609756097560976</v>
      </c>
      <c r="G7" s="24">
        <v>6</v>
      </c>
      <c r="H7" s="23">
        <f t="shared" si="3"/>
        <v>7.3170731707317069E-2</v>
      </c>
      <c r="I7" s="24">
        <v>6</v>
      </c>
      <c r="J7" s="23">
        <f t="shared" si="4"/>
        <v>7.3170731707317069E-2</v>
      </c>
      <c r="K7" s="17">
        <f t="shared" si="5"/>
        <v>82</v>
      </c>
      <c r="L7" s="23"/>
      <c r="M7" s="19"/>
      <c r="N7" s="19"/>
    </row>
    <row r="8" spans="1:14" ht="15">
      <c r="A8" s="17" t="s">
        <v>28</v>
      </c>
      <c r="B8" s="17"/>
      <c r="C8" s="21">
        <f>C9+C10+C11</f>
        <v>478</v>
      </c>
      <c r="D8" s="27">
        <f>C8/K8</f>
        <v>0.69679300291545188</v>
      </c>
      <c r="E8" s="21">
        <f t="shared" ref="D8:K8" si="6">E9+E10+E11</f>
        <v>139</v>
      </c>
      <c r="F8" s="27">
        <f>E8/K8</f>
        <v>0.20262390670553937</v>
      </c>
      <c r="G8" s="21">
        <f t="shared" si="6"/>
        <v>40</v>
      </c>
      <c r="H8" s="27">
        <f>G8/K8</f>
        <v>5.8309037900874633E-2</v>
      </c>
      <c r="I8" s="21">
        <f t="shared" si="6"/>
        <v>29</v>
      </c>
      <c r="J8" s="27">
        <f>I8/K8</f>
        <v>4.2274052478134108E-2</v>
      </c>
      <c r="K8" s="21">
        <f t="shared" si="6"/>
        <v>686</v>
      </c>
      <c r="L8" s="22"/>
      <c r="M8" s="19"/>
      <c r="N8" s="19"/>
    </row>
    <row r="9" spans="1:14" ht="15">
      <c r="A9" s="17"/>
      <c r="B9" s="17" t="s">
        <v>29</v>
      </c>
      <c r="C9" s="24">
        <v>263</v>
      </c>
      <c r="D9" s="23">
        <f>C9/K9</f>
        <v>0.76453488372093026</v>
      </c>
      <c r="E9" s="24">
        <v>59</v>
      </c>
      <c r="F9" s="23">
        <f>E9/K9</f>
        <v>0.17151162790697674</v>
      </c>
      <c r="G9" s="24">
        <v>6</v>
      </c>
      <c r="H9" s="23">
        <f>G9/K9</f>
        <v>1.7441860465116279E-2</v>
      </c>
      <c r="I9" s="24">
        <v>16</v>
      </c>
      <c r="J9" s="23">
        <f>I9/K9</f>
        <v>4.6511627906976744E-2</v>
      </c>
      <c r="K9" s="17">
        <f t="shared" si="5"/>
        <v>344</v>
      </c>
      <c r="L9" s="23"/>
      <c r="M9" s="19"/>
      <c r="N9" s="19"/>
    </row>
    <row r="10" spans="1:14" ht="15">
      <c r="A10" s="17"/>
      <c r="B10" s="17" t="s">
        <v>30</v>
      </c>
      <c r="C10" s="24">
        <v>151</v>
      </c>
      <c r="D10" s="23">
        <f t="shared" ref="D10:D11" si="7">C10/K10</f>
        <v>0.79057591623036649</v>
      </c>
      <c r="E10" s="24">
        <v>25</v>
      </c>
      <c r="F10" s="23">
        <f t="shared" ref="F10:F11" si="8">E10/K10</f>
        <v>0.13089005235602094</v>
      </c>
      <c r="G10" s="24">
        <v>11</v>
      </c>
      <c r="H10" s="23">
        <f t="shared" ref="H10:H11" si="9">G10/K10</f>
        <v>5.7591623036649213E-2</v>
      </c>
      <c r="I10" s="24">
        <v>4</v>
      </c>
      <c r="J10" s="23">
        <f t="shared" ref="J10:J11" si="10">I10/K10</f>
        <v>2.0942408376963352E-2</v>
      </c>
      <c r="K10" s="17">
        <f t="shared" si="5"/>
        <v>191</v>
      </c>
      <c r="L10" s="23"/>
      <c r="M10" s="19"/>
      <c r="N10" s="19"/>
    </row>
    <row r="11" spans="1:14" ht="15">
      <c r="A11" s="17"/>
      <c r="B11" s="17" t="s">
        <v>31</v>
      </c>
      <c r="C11" s="24">
        <v>64</v>
      </c>
      <c r="D11" s="23">
        <f t="shared" si="7"/>
        <v>0.42384105960264901</v>
      </c>
      <c r="E11" s="24">
        <v>55</v>
      </c>
      <c r="F11" s="23">
        <f t="shared" si="8"/>
        <v>0.36423841059602646</v>
      </c>
      <c r="G11" s="24">
        <v>23</v>
      </c>
      <c r="H11" s="23">
        <f t="shared" si="9"/>
        <v>0.15231788079470199</v>
      </c>
      <c r="I11" s="24">
        <v>9</v>
      </c>
      <c r="J11" s="23">
        <f t="shared" si="10"/>
        <v>5.9602649006622516E-2</v>
      </c>
      <c r="K11" s="17">
        <f t="shared" si="5"/>
        <v>151</v>
      </c>
      <c r="L11" s="23"/>
      <c r="M11" s="19"/>
      <c r="N11" s="19"/>
    </row>
    <row r="12" spans="1:14" ht="15">
      <c r="A12" s="17" t="s">
        <v>32</v>
      </c>
      <c r="B12" s="17"/>
      <c r="C12" s="25">
        <v>0</v>
      </c>
      <c r="D12" s="26">
        <f>C12/K12</f>
        <v>0</v>
      </c>
      <c r="E12" s="25">
        <v>3</v>
      </c>
      <c r="F12" s="26">
        <f>E12/K12</f>
        <v>0.75</v>
      </c>
      <c r="G12" s="25">
        <v>0</v>
      </c>
      <c r="H12" s="26">
        <f>G12/K12</f>
        <v>0</v>
      </c>
      <c r="I12" s="25">
        <v>1</v>
      </c>
      <c r="J12" s="26">
        <f>I12/K12</f>
        <v>0.25</v>
      </c>
      <c r="K12" s="21">
        <f t="shared" si="5"/>
        <v>4</v>
      </c>
      <c r="L12" s="22"/>
      <c r="M12" s="19"/>
      <c r="N12" s="19"/>
    </row>
    <row r="13" spans="1:14" ht="15">
      <c r="A13" s="17" t="s">
        <v>33</v>
      </c>
      <c r="B13" s="17"/>
      <c r="C13" s="25">
        <v>8</v>
      </c>
      <c r="D13" s="26">
        <f t="shared" ref="D13:D14" si="11">C13/K13</f>
        <v>0.47058823529411764</v>
      </c>
      <c r="E13" s="25">
        <v>6</v>
      </c>
      <c r="F13" s="26">
        <f t="shared" ref="F13:F14" si="12">E13/K13</f>
        <v>0.35294117647058826</v>
      </c>
      <c r="G13" s="25">
        <v>0</v>
      </c>
      <c r="H13" s="26">
        <f t="shared" ref="H13:H14" si="13">G13/K13</f>
        <v>0</v>
      </c>
      <c r="I13" s="25">
        <v>3</v>
      </c>
      <c r="J13" s="26">
        <f t="shared" ref="J13:J14" si="14">I13/K13</f>
        <v>0.17647058823529413</v>
      </c>
      <c r="K13" s="21">
        <f t="shared" si="5"/>
        <v>17</v>
      </c>
      <c r="L13" s="22"/>
      <c r="M13" s="19"/>
      <c r="N13" s="19"/>
    </row>
    <row r="14" spans="1:14" ht="15">
      <c r="A14" s="17" t="s">
        <v>21</v>
      </c>
      <c r="B14" s="17"/>
      <c r="C14" s="21">
        <v>637</v>
      </c>
      <c r="D14" s="26">
        <f t="shared" si="11"/>
        <v>0.66701570680628275</v>
      </c>
      <c r="E14" s="21">
        <v>209</v>
      </c>
      <c r="F14" s="26">
        <f t="shared" si="12"/>
        <v>0.218848167539267</v>
      </c>
      <c r="G14" s="21">
        <v>53</v>
      </c>
      <c r="H14" s="26">
        <f t="shared" si="13"/>
        <v>5.549738219895288E-2</v>
      </c>
      <c r="I14" s="21">
        <v>56</v>
      </c>
      <c r="J14" s="26">
        <f t="shared" si="14"/>
        <v>5.8638743455497383E-2</v>
      </c>
      <c r="K14" s="21">
        <f t="shared" si="5"/>
        <v>955</v>
      </c>
      <c r="L14" s="22"/>
      <c r="M14" s="19"/>
      <c r="N14" s="19"/>
    </row>
    <row r="15" spans="1:14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</row>
    <row r="16" spans="1:14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</row>
    <row r="17" spans="1:14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</row>
  </sheetData>
  <mergeCells count="5">
    <mergeCell ref="C1:D1"/>
    <mergeCell ref="E1:F1"/>
    <mergeCell ref="G1:H1"/>
    <mergeCell ref="I1:J1"/>
    <mergeCell ref="K1:L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localities</vt:lpstr>
      <vt:lpstr>raw_material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芷 叶</dc:creator>
  <cp:lastModifiedBy>芷 叶</cp:lastModifiedBy>
  <dcterms:created xsi:type="dcterms:W3CDTF">2025-06-25T00:07:42Z</dcterms:created>
  <dcterms:modified xsi:type="dcterms:W3CDTF">2025-09-11T23:23:14Z</dcterms:modified>
</cp:coreProperties>
</file>