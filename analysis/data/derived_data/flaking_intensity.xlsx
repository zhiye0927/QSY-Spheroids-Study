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_Analysis\QSYSpheroidsStudy\analysis\data\derived_data\"/>
    </mc:Choice>
  </mc:AlternateContent>
  <xr:revisionPtr revIDLastSave="0" documentId="13_ncr:1_{F25852DC-B3AB-4D55-926C-2D1C41609A74}" xr6:coauthVersionLast="47" xr6:coauthVersionMax="47" xr10:uidLastSave="{00000000-0000-0000-0000-000000000000}"/>
  <bookViews>
    <workbookView xWindow="-108" yWindow="-108" windowWidth="23256" windowHeight="12456" xr2:uid="{805340FD-2794-4CD7-8C2C-0D4FED310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1" i="1"/>
  <c r="G9" i="1"/>
  <c r="G10" i="1"/>
  <c r="G11" i="1"/>
  <c r="G12" i="1"/>
  <c r="G13" i="1"/>
  <c r="G14" i="1"/>
  <c r="G15" i="1"/>
  <c r="G16" i="1"/>
  <c r="G17" i="1"/>
  <c r="G6" i="1"/>
  <c r="G5" i="1"/>
  <c r="F21" i="1"/>
  <c r="E10" i="1"/>
  <c r="F10" i="1" s="1"/>
  <c r="E11" i="1"/>
  <c r="F11" i="1" s="1"/>
  <c r="E18" i="1"/>
  <c r="F18" i="1" s="1"/>
  <c r="E21" i="1"/>
  <c r="E20" i="1"/>
  <c r="F20" i="1" s="1"/>
  <c r="E19" i="1"/>
  <c r="F19" i="1" s="1"/>
  <c r="E17" i="1"/>
  <c r="F17" i="1" s="1"/>
  <c r="E14" i="1"/>
  <c r="F14" i="1" s="1"/>
  <c r="E15" i="1"/>
  <c r="F15" i="1" s="1"/>
  <c r="E16" i="1"/>
  <c r="F16" i="1" s="1"/>
  <c r="E12" i="1"/>
  <c r="F12" i="1" s="1"/>
  <c r="E13" i="1"/>
  <c r="F13" i="1" s="1"/>
  <c r="E9" i="1"/>
  <c r="F9" i="1" s="1"/>
  <c r="E8" i="1"/>
  <c r="F8" i="1" s="1"/>
  <c r="E5" i="1"/>
  <c r="F5" i="1" s="1"/>
  <c r="E6" i="1"/>
  <c r="F6" i="1" s="1"/>
  <c r="E7" i="1"/>
  <c r="F7" i="1" s="1"/>
  <c r="E2" i="1"/>
  <c r="F2" i="1" s="1"/>
  <c r="E3" i="1"/>
  <c r="F3" i="1" s="1"/>
  <c r="E4" i="1"/>
  <c r="F4" i="1" s="1"/>
  <c r="E22" i="1"/>
  <c r="F22" i="1" s="1"/>
</calcChain>
</file>

<file path=xl/sharedStrings.xml><?xml version="1.0" encoding="utf-8"?>
<sst xmlns="http://schemas.openxmlformats.org/spreadsheetml/2006/main" count="28" uniqueCount="28">
  <si>
    <t>QSY_B_435</t>
    <phoneticPr fontId="1" type="noConversion"/>
  </si>
  <si>
    <t>QSY_B_189</t>
    <phoneticPr fontId="1" type="noConversion"/>
  </si>
  <si>
    <t>QSY_B_186</t>
    <phoneticPr fontId="1" type="noConversion"/>
  </si>
  <si>
    <t>QSY_B_140</t>
    <phoneticPr fontId="1" type="noConversion"/>
  </si>
  <si>
    <t>QSY_B_003</t>
    <phoneticPr fontId="1" type="noConversion"/>
  </si>
  <si>
    <t>QSY_A_2717</t>
    <phoneticPr fontId="1" type="noConversion"/>
  </si>
  <si>
    <t>QSY_A_2723</t>
    <phoneticPr fontId="1" type="noConversion"/>
  </si>
  <si>
    <t>QSY_A_2797</t>
    <phoneticPr fontId="1" type="noConversion"/>
  </si>
  <si>
    <t>QSY_A_2213</t>
    <phoneticPr fontId="1" type="noConversion"/>
  </si>
  <si>
    <t>QSY_A_2600</t>
    <phoneticPr fontId="1" type="noConversion"/>
  </si>
  <si>
    <t>QSY_A_1777</t>
    <phoneticPr fontId="1" type="noConversion"/>
  </si>
  <si>
    <t>QSY_A_1584</t>
    <phoneticPr fontId="1" type="noConversion"/>
  </si>
  <si>
    <t>QSY_A_1098</t>
    <phoneticPr fontId="1" type="noConversion"/>
  </si>
  <si>
    <t>QSY_A_1246</t>
    <phoneticPr fontId="1" type="noConversion"/>
  </si>
  <si>
    <t>QSY_A_1304</t>
    <phoneticPr fontId="1" type="noConversion"/>
  </si>
  <si>
    <t>QSY_A_0682</t>
    <phoneticPr fontId="1" type="noConversion"/>
  </si>
  <si>
    <t>QSY_A_0700</t>
    <phoneticPr fontId="1" type="noConversion"/>
  </si>
  <si>
    <t>QSY_A_0735</t>
    <phoneticPr fontId="1" type="noConversion"/>
  </si>
  <si>
    <t>ID</t>
    <phoneticPr fontId="1" type="noConversion"/>
  </si>
  <si>
    <t>cortex area</t>
    <phoneticPr fontId="1" type="noConversion"/>
  </si>
  <si>
    <t>surface area</t>
    <phoneticPr fontId="1" type="noConversion"/>
  </si>
  <si>
    <t>cortex ratio</t>
    <phoneticPr fontId="1" type="noConversion"/>
  </si>
  <si>
    <t>QSY_B_072</t>
    <phoneticPr fontId="1" type="noConversion"/>
  </si>
  <si>
    <t>QSY_A_2048</t>
    <phoneticPr fontId="1" type="noConversion"/>
  </si>
  <si>
    <t>QSY_A_1941</t>
    <phoneticPr fontId="1" type="noConversion"/>
  </si>
  <si>
    <t>removal_ratio</t>
    <phoneticPr fontId="1" type="noConversion"/>
  </si>
  <si>
    <t>SDI</t>
    <phoneticPr fontId="1" type="noConversion"/>
  </si>
  <si>
    <t>scar_number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</si>
</sst>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);[Red]\(0.000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CD6A-7A9B-401E-8A30-0DD286D5336D}">
  <dimension ref="A1:G22"/>
  <sheetViews>
    <sheetView tabSelected="1" workbookViewId="0">
      <selection activeCell="H4" sqref="H4"/>
    </sheetView>
  </sheetViews>
  <sheetFormatPr defaultRowHeight="13.8" x14ac:dyDescent="0.25"/>
  <cols>
    <col min="1" max="1" width="15.33203125" customWidth="1"/>
    <col min="2" max="2" width="10.5546875" customWidth="1"/>
    <col min="3" max="3" width="13.6640625" customWidth="1"/>
    <col min="4" max="4" width="13.33203125" customWidth="1"/>
  </cols>
  <sheetData>
    <row r="1" spans="1:7" x14ac:dyDescent="0.25">
      <c r="A1" t="s">
        <v>18</v>
      </c>
      <c r="B1" t="s">
        <v>27</v>
      </c>
      <c r="C1" t="s">
        <v>19</v>
      </c>
      <c r="D1" t="s">
        <v>20</v>
      </c>
      <c r="E1" t="s">
        <v>21</v>
      </c>
      <c r="F1" t="s">
        <v>25</v>
      </c>
      <c r="G1" t="s">
        <v>26</v>
      </c>
    </row>
    <row r="2" spans="1:7" x14ac:dyDescent="0.25">
      <c r="A2" t="s">
        <v>15</v>
      </c>
      <c r="C2">
        <v>11351.730100000001</v>
      </c>
      <c r="D2">
        <v>69543.540999999997</v>
      </c>
      <c r="E2">
        <f t="shared" ref="E2:E22" si="0">C2/D2</f>
        <v>0.16323198296733266</v>
      </c>
      <c r="F2">
        <f>1-E2</f>
        <v>0.83676801703266734</v>
      </c>
    </row>
    <row r="3" spans="1:7" x14ac:dyDescent="0.25">
      <c r="A3" t="s">
        <v>16</v>
      </c>
      <c r="C3">
        <v>17293.6165</v>
      </c>
      <c r="D3">
        <v>26832.318299999999</v>
      </c>
      <c r="E3">
        <f t="shared" si="0"/>
        <v>0.64450698246226457</v>
      </c>
      <c r="F3">
        <f t="shared" ref="F3:F22" si="1">1-E3</f>
        <v>0.35549301753773543</v>
      </c>
    </row>
    <row r="4" spans="1:7" x14ac:dyDescent="0.25">
      <c r="A4" t="s">
        <v>17</v>
      </c>
      <c r="C4" s="1">
        <v>3343.8690999999999</v>
      </c>
      <c r="D4">
        <v>11894.330900000001</v>
      </c>
      <c r="E4">
        <f t="shared" si="0"/>
        <v>0.28113133291087433</v>
      </c>
      <c r="F4">
        <f t="shared" si="1"/>
        <v>0.71886866708912567</v>
      </c>
    </row>
    <row r="5" spans="1:7" x14ac:dyDescent="0.25">
      <c r="A5" s="2" t="s">
        <v>12</v>
      </c>
      <c r="B5" s="4">
        <v>29</v>
      </c>
      <c r="C5">
        <v>299.32049999999998</v>
      </c>
      <c r="D5">
        <v>11132.7394</v>
      </c>
      <c r="E5">
        <f t="shared" si="0"/>
        <v>2.6886509173115108E-2</v>
      </c>
      <c r="F5">
        <f t="shared" si="1"/>
        <v>0.97311349082688492</v>
      </c>
      <c r="G5">
        <f>B5/D5</f>
        <v>2.6049293851251021E-3</v>
      </c>
    </row>
    <row r="6" spans="1:7" x14ac:dyDescent="0.25">
      <c r="A6" s="2" t="s">
        <v>13</v>
      </c>
      <c r="B6" s="4">
        <v>31</v>
      </c>
      <c r="C6">
        <v>802.15980000000002</v>
      </c>
      <c r="D6">
        <v>10110.682199999999</v>
      </c>
      <c r="E6">
        <f t="shared" si="0"/>
        <v>7.9337851208497095E-2</v>
      </c>
      <c r="F6">
        <f t="shared" si="1"/>
        <v>0.92066214879150288</v>
      </c>
      <c r="G6">
        <f>B6/D6</f>
        <v>3.0660641277005028E-3</v>
      </c>
    </row>
    <row r="7" spans="1:7" x14ac:dyDescent="0.25">
      <c r="A7" t="s">
        <v>14</v>
      </c>
      <c r="C7">
        <v>13037.6625</v>
      </c>
      <c r="D7">
        <v>17285.3969</v>
      </c>
      <c r="E7">
        <f t="shared" si="0"/>
        <v>0.75425878708055583</v>
      </c>
      <c r="F7">
        <f t="shared" si="1"/>
        <v>0.24574121291944417</v>
      </c>
    </row>
    <row r="8" spans="1:7" x14ac:dyDescent="0.25">
      <c r="A8" t="s">
        <v>11</v>
      </c>
      <c r="C8">
        <v>6437.7936</v>
      </c>
      <c r="D8">
        <v>24694.996299999999</v>
      </c>
      <c r="E8">
        <f t="shared" si="0"/>
        <v>0.2606922277611356</v>
      </c>
      <c r="F8">
        <f t="shared" si="1"/>
        <v>0.73930777223886435</v>
      </c>
    </row>
    <row r="9" spans="1:7" x14ac:dyDescent="0.25">
      <c r="A9" s="2" t="s">
        <v>10</v>
      </c>
      <c r="B9" s="4">
        <v>14</v>
      </c>
      <c r="C9">
        <v>194.41900000000001</v>
      </c>
      <c r="D9">
        <v>2653.6514999999999</v>
      </c>
      <c r="E9">
        <f t="shared" si="0"/>
        <v>7.3264707140330981E-2</v>
      </c>
      <c r="F9">
        <f t="shared" si="1"/>
        <v>0.92673529285966905</v>
      </c>
      <c r="G9">
        <f t="shared" ref="G9:G21" si="2">B9/D9</f>
        <v>5.2757492835815104E-3</v>
      </c>
    </row>
    <row r="10" spans="1:7" x14ac:dyDescent="0.25">
      <c r="A10" s="3" t="s">
        <v>24</v>
      </c>
      <c r="B10" s="4">
        <v>8</v>
      </c>
      <c r="C10">
        <v>4954.8617999999997</v>
      </c>
      <c r="D10">
        <v>15552.037399999999</v>
      </c>
      <c r="E10">
        <f t="shared" si="0"/>
        <v>0.31859888659989977</v>
      </c>
      <c r="F10">
        <f t="shared" si="1"/>
        <v>0.68140111340010023</v>
      </c>
      <c r="G10">
        <f t="shared" si="2"/>
        <v>5.1440205512880263E-4</v>
      </c>
    </row>
    <row r="11" spans="1:7" x14ac:dyDescent="0.25">
      <c r="A11" s="3" t="s">
        <v>23</v>
      </c>
      <c r="B11" s="4">
        <v>22</v>
      </c>
      <c r="C11">
        <v>8801.2495999999992</v>
      </c>
      <c r="D11">
        <v>59099.766000000003</v>
      </c>
      <c r="E11">
        <f t="shared" si="0"/>
        <v>0.14892190266878549</v>
      </c>
      <c r="F11">
        <f t="shared" si="1"/>
        <v>0.85107809733121453</v>
      </c>
      <c r="G11">
        <f t="shared" si="2"/>
        <v>3.722518969026036E-4</v>
      </c>
    </row>
    <row r="12" spans="1:7" x14ac:dyDescent="0.25">
      <c r="A12" s="3" t="s">
        <v>8</v>
      </c>
      <c r="B12" s="4">
        <v>26</v>
      </c>
      <c r="C12">
        <v>1089.2695000000001</v>
      </c>
      <c r="D12">
        <v>14037.892400000001</v>
      </c>
      <c r="E12">
        <f t="shared" si="0"/>
        <v>7.75949458053974E-2</v>
      </c>
      <c r="F12">
        <f t="shared" si="1"/>
        <v>0.92240505419460261</v>
      </c>
      <c r="G12">
        <f t="shared" si="2"/>
        <v>1.8521298824031448E-3</v>
      </c>
    </row>
    <row r="13" spans="1:7" x14ac:dyDescent="0.25">
      <c r="A13" s="3" t="s">
        <v>9</v>
      </c>
      <c r="B13" s="4">
        <v>22</v>
      </c>
      <c r="C13">
        <v>2427.5052000000001</v>
      </c>
      <c r="D13">
        <v>16365.2516</v>
      </c>
      <c r="E13">
        <f t="shared" si="0"/>
        <v>0.1483328982244306</v>
      </c>
      <c r="F13">
        <f t="shared" si="1"/>
        <v>0.85166710177556937</v>
      </c>
      <c r="G13">
        <f t="shared" si="2"/>
        <v>1.3443117489253878E-3</v>
      </c>
    </row>
    <row r="14" spans="1:7" x14ac:dyDescent="0.25">
      <c r="A14" s="3" t="s">
        <v>5</v>
      </c>
      <c r="B14" s="4">
        <v>20</v>
      </c>
      <c r="C14">
        <v>2740.7945</v>
      </c>
      <c r="D14">
        <v>19552.2755</v>
      </c>
      <c r="E14">
        <f t="shared" si="0"/>
        <v>0.14017777623888331</v>
      </c>
      <c r="F14">
        <f t="shared" si="1"/>
        <v>0.85982222376111672</v>
      </c>
      <c r="G14">
        <f t="shared" si="2"/>
        <v>1.0228988436665595E-3</v>
      </c>
    </row>
    <row r="15" spans="1:7" x14ac:dyDescent="0.25">
      <c r="A15" s="3" t="s">
        <v>6</v>
      </c>
      <c r="B15" s="4">
        <v>27</v>
      </c>
      <c r="C15">
        <v>1537.7121999999999</v>
      </c>
      <c r="D15">
        <v>18780.136200000001</v>
      </c>
      <c r="E15">
        <f t="shared" si="0"/>
        <v>8.1879715015059362E-2</v>
      </c>
      <c r="F15">
        <f t="shared" si="1"/>
        <v>0.91812028498494058</v>
      </c>
      <c r="G15">
        <f t="shared" si="2"/>
        <v>1.4376892538191495E-3</v>
      </c>
    </row>
    <row r="16" spans="1:7" x14ac:dyDescent="0.25">
      <c r="A16" s="3" t="s">
        <v>7</v>
      </c>
      <c r="B16" s="4">
        <v>28</v>
      </c>
      <c r="C16">
        <v>555.1354</v>
      </c>
      <c r="D16">
        <v>13996.644700000001</v>
      </c>
      <c r="E16">
        <f t="shared" si="0"/>
        <v>3.966203414451179E-2</v>
      </c>
      <c r="F16">
        <f t="shared" si="1"/>
        <v>0.96033796585548825</v>
      </c>
      <c r="G16">
        <f t="shared" si="2"/>
        <v>2.000479443476907E-3</v>
      </c>
    </row>
    <row r="17" spans="1:7" x14ac:dyDescent="0.25">
      <c r="A17" s="3" t="s">
        <v>4</v>
      </c>
      <c r="B17" s="4">
        <v>14</v>
      </c>
      <c r="C17">
        <v>18904.7899</v>
      </c>
      <c r="D17">
        <v>53588.622900000002</v>
      </c>
      <c r="E17">
        <f t="shared" si="0"/>
        <v>0.35277618414038403</v>
      </c>
      <c r="F17">
        <f t="shared" si="1"/>
        <v>0.64722381585961597</v>
      </c>
      <c r="G17">
        <f t="shared" si="2"/>
        <v>2.6124948249043358E-4</v>
      </c>
    </row>
    <row r="18" spans="1:7" x14ac:dyDescent="0.25">
      <c r="A18" s="3" t="s">
        <v>22</v>
      </c>
      <c r="B18" s="4">
        <v>4</v>
      </c>
      <c r="C18">
        <v>9657.3053999999993</v>
      </c>
      <c r="D18">
        <v>25611.006700000002</v>
      </c>
      <c r="E18">
        <f t="shared" si="0"/>
        <v>0.37707636849745541</v>
      </c>
      <c r="F18">
        <f t="shared" si="1"/>
        <v>0.62292363150254459</v>
      </c>
      <c r="G18">
        <f t="shared" si="2"/>
        <v>1.5618284930595875E-4</v>
      </c>
    </row>
    <row r="19" spans="1:7" x14ac:dyDescent="0.25">
      <c r="A19" t="s">
        <v>3</v>
      </c>
      <c r="C19">
        <v>10373.771199999999</v>
      </c>
      <c r="D19">
        <v>19240.0278</v>
      </c>
      <c r="E19">
        <f t="shared" si="0"/>
        <v>0.5391765182376711</v>
      </c>
      <c r="F19">
        <f t="shared" si="1"/>
        <v>0.4608234817623289</v>
      </c>
    </row>
    <row r="20" spans="1:7" x14ac:dyDescent="0.25">
      <c r="A20" t="s">
        <v>2</v>
      </c>
      <c r="C20">
        <v>3868.9321</v>
      </c>
      <c r="D20">
        <v>11632.750400000001</v>
      </c>
      <c r="E20">
        <f t="shared" si="0"/>
        <v>0.33258962557986282</v>
      </c>
      <c r="F20">
        <f t="shared" si="1"/>
        <v>0.66741037442013718</v>
      </c>
    </row>
    <row r="21" spans="1:7" x14ac:dyDescent="0.25">
      <c r="A21" s="2" t="s">
        <v>1</v>
      </c>
      <c r="B21" s="4">
        <v>15</v>
      </c>
      <c r="C21">
        <v>2330.1044999999999</v>
      </c>
      <c r="D21">
        <v>10677.1129</v>
      </c>
      <c r="E21">
        <f t="shared" si="0"/>
        <v>0.21823357323495193</v>
      </c>
      <c r="F21">
        <f t="shared" si="1"/>
        <v>0.78176642676504804</v>
      </c>
      <c r="G21">
        <f t="shared" si="2"/>
        <v>1.4048741584440866E-3</v>
      </c>
    </row>
    <row r="22" spans="1:7" x14ac:dyDescent="0.25">
      <c r="A22" t="s">
        <v>0</v>
      </c>
      <c r="C22">
        <v>3252.1453000000001</v>
      </c>
      <c r="D22">
        <v>7114.7042000000001</v>
      </c>
      <c r="E22">
        <f t="shared" si="0"/>
        <v>0.45710196918657559</v>
      </c>
      <c r="F22">
        <f t="shared" si="1"/>
        <v>0.54289803081342436</v>
      </c>
    </row>
  </sheetData>
  <sortState xmlns:xlrd2="http://schemas.microsoft.com/office/spreadsheetml/2017/richdata2" ref="A2:E22">
    <sortCondition ref="A1:A2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2025-04-28T23:57:36Z</dcterms:created>
  <dcterms:modified xsi:type="dcterms:W3CDTF">2025-12-30T00:38:46Z</dcterms:modified>
</cp:coreProperties>
</file>